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el\Desktop\187-Borden-Conceptual-FSR-SWM\calculations\"/>
    </mc:Choice>
  </mc:AlternateContent>
  <xr:revisionPtr revIDLastSave="0" documentId="13_ncr:1_{FA1E87C8-31E6-46BB-897D-CF24F956BC2B}" xr6:coauthVersionLast="47" xr6:coauthVersionMax="47" xr10:uidLastSave="{00000000-0000-0000-0000-000000000000}"/>
  <bookViews>
    <workbookView xWindow="-108" yWindow="-108" windowWidth="23256" windowHeight="12456" xr2:uid="{F13A522B-2C41-4D88-BFC8-2A0AACC7E2AC}"/>
  </bookViews>
  <sheets>
    <sheet name="Pre_Development" sheetId="2" r:id="rId1"/>
    <sheet name="Post_Development" sheetId="1" r:id="rId2"/>
    <sheet name="Orifice" sheetId="3" r:id="rId3"/>
    <sheet name="Stor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8" i="1" l="1"/>
  <c r="E28" i="2"/>
  <c r="E5" i="4"/>
  <c r="E6" i="4"/>
  <c r="E7" i="4"/>
  <c r="E8" i="4" s="1"/>
  <c r="E4" i="4"/>
  <c r="E16" i="4"/>
  <c r="E17" i="4"/>
  <c r="E15" i="4"/>
  <c r="E19" i="4" s="1"/>
  <c r="D26" i="4"/>
  <c r="D27" i="4"/>
  <c r="D25" i="4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27" i="3"/>
  <c r="M17" i="3"/>
  <c r="K17" i="3"/>
  <c r="A16" i="3"/>
  <c r="N17" i="3" s="1"/>
  <c r="E8" i="3"/>
  <c r="B9" i="3" s="1"/>
  <c r="B4" i="1"/>
  <c r="D4" i="1" s="1"/>
  <c r="E15" i="2"/>
  <c r="E16" i="2"/>
  <c r="E17" i="2"/>
  <c r="E18" i="2"/>
  <c r="E19" i="2"/>
  <c r="E14" i="2"/>
  <c r="D5" i="2"/>
  <c r="D4" i="2"/>
  <c r="B6" i="2"/>
  <c r="C6" i="2" s="1"/>
  <c r="D28" i="2" s="1"/>
  <c r="D2" i="2"/>
  <c r="E16" i="1"/>
  <c r="E17" i="1"/>
  <c r="E18" i="1"/>
  <c r="E19" i="1"/>
  <c r="E15" i="1"/>
  <c r="E14" i="1"/>
  <c r="D5" i="1"/>
  <c r="D2" i="1"/>
  <c r="B3" i="1"/>
  <c r="D3" i="1" s="1"/>
  <c r="B7" i="2" l="1"/>
  <c r="B22" i="2"/>
  <c r="A11" i="3" s="1"/>
  <c r="A15" i="3" s="1"/>
  <c r="B23" i="2"/>
  <c r="D28" i="4"/>
  <c r="F30" i="4" s="1"/>
  <c r="A17" i="3"/>
  <c r="P17" i="3" s="1"/>
  <c r="D3" i="2"/>
  <c r="B6" i="1"/>
  <c r="F33" i="2" l="1"/>
  <c r="C28" i="2"/>
  <c r="E33" i="2"/>
  <c r="D33" i="2"/>
  <c r="C33" i="2"/>
  <c r="B33" i="2"/>
  <c r="A33" i="2"/>
  <c r="O17" i="3"/>
  <c r="G23" i="3" s="1"/>
  <c r="C6" i="1"/>
  <c r="B7" i="1"/>
  <c r="C28" i="1" l="1"/>
  <c r="G21" i="3"/>
  <c r="F33" i="1"/>
  <c r="E33" i="1"/>
  <c r="D33" i="1"/>
  <c r="C33" i="1"/>
  <c r="B33" i="1"/>
  <c r="A33" i="1"/>
  <c r="B23" i="1"/>
  <c r="D28" i="1"/>
  <c r="G22" i="3"/>
  <c r="B22" i="1"/>
  <c r="I28" i="3" l="1"/>
  <c r="J28" i="3" s="1"/>
  <c r="L28" i="3" s="1"/>
  <c r="I40" i="3"/>
  <c r="J40" i="3" s="1"/>
  <c r="L40" i="3" s="1"/>
  <c r="I39" i="3"/>
  <c r="J39" i="3" s="1"/>
  <c r="L39" i="3" s="1"/>
  <c r="I37" i="3"/>
  <c r="J37" i="3" s="1"/>
  <c r="L37" i="3" s="1"/>
  <c r="I33" i="3"/>
  <c r="J33" i="3" s="1"/>
  <c r="L33" i="3" s="1"/>
  <c r="I31" i="3"/>
  <c r="J31" i="3" s="1"/>
  <c r="L31" i="3" s="1"/>
  <c r="I38" i="3"/>
  <c r="J38" i="3" s="1"/>
  <c r="L38" i="3" s="1"/>
  <c r="I36" i="3"/>
  <c r="J36" i="3" s="1"/>
  <c r="L36" i="3" s="1"/>
  <c r="I35" i="3"/>
  <c r="J35" i="3" s="1"/>
  <c r="L35" i="3" s="1"/>
  <c r="I34" i="3"/>
  <c r="J34" i="3" s="1"/>
  <c r="L34" i="3" s="1"/>
  <c r="I32" i="3"/>
  <c r="J32" i="3" s="1"/>
  <c r="L32" i="3" s="1"/>
  <c r="I27" i="3"/>
  <c r="J27" i="3" s="1"/>
  <c r="L27" i="3" s="1"/>
  <c r="I30" i="3"/>
  <c r="J30" i="3" s="1"/>
  <c r="L30" i="3" s="1"/>
  <c r="I29" i="3"/>
  <c r="J29" i="3" s="1"/>
  <c r="L29" i="3" s="1"/>
  <c r="I41" i="3"/>
  <c r="J41" i="3" s="1"/>
  <c r="L41" i="3" s="1"/>
</calcChain>
</file>

<file path=xl/sharedStrings.xml><?xml version="1.0" encoding="utf-8"?>
<sst xmlns="http://schemas.openxmlformats.org/spreadsheetml/2006/main" count="172" uniqueCount="93">
  <si>
    <t>Building</t>
  </si>
  <si>
    <t>Grass</t>
  </si>
  <si>
    <t>Concrete</t>
  </si>
  <si>
    <t>Asphalt</t>
  </si>
  <si>
    <t>C</t>
  </si>
  <si>
    <t>AC</t>
  </si>
  <si>
    <t>Area m2</t>
  </si>
  <si>
    <t>RETURN</t>
  </si>
  <si>
    <t>DURATION</t>
  </si>
  <si>
    <t>Depth</t>
  </si>
  <si>
    <t>12.5mm</t>
  </si>
  <si>
    <t>25mm</t>
  </si>
  <si>
    <t>PERAMETERS</t>
  </si>
  <si>
    <t>A</t>
  </si>
  <si>
    <t>B</t>
  </si>
  <si>
    <t>Hours</t>
  </si>
  <si>
    <t>mm</t>
  </si>
  <si>
    <t>years</t>
  </si>
  <si>
    <t>Tc</t>
  </si>
  <si>
    <t>min</t>
  </si>
  <si>
    <t>Intensity (mm/hr)</t>
  </si>
  <si>
    <t>Q=CIA_2.78</t>
  </si>
  <si>
    <t>lit/s</t>
  </si>
  <si>
    <t>Q5</t>
  </si>
  <si>
    <t>Q100</t>
  </si>
  <si>
    <t>Years</t>
  </si>
  <si>
    <t>try h=</t>
  </si>
  <si>
    <t>rim</t>
  </si>
  <si>
    <t>invert</t>
  </si>
  <si>
    <t>First h is the RIM+Ponding-Invert</t>
  </si>
  <si>
    <t>D from first step</t>
  </si>
  <si>
    <t>take that d and change h=Rim+ponding-Invert-D/2</t>
  </si>
  <si>
    <t>Q</t>
  </si>
  <si>
    <t>g</t>
  </si>
  <si>
    <t>G</t>
  </si>
  <si>
    <t>h</t>
  </si>
  <si>
    <t>Pi</t>
  </si>
  <si>
    <t>Cd</t>
  </si>
  <si>
    <t>m</t>
  </si>
  <si>
    <t>d  m</t>
  </si>
  <si>
    <t>Q L/S</t>
  </si>
  <si>
    <t>Manhole</t>
  </si>
  <si>
    <t>HWL</t>
  </si>
  <si>
    <t>c</t>
  </si>
  <si>
    <t>a</t>
  </si>
  <si>
    <t>Orifice dia</t>
  </si>
  <si>
    <t>Structure</t>
  </si>
  <si>
    <t>335.7+ponding</t>
  </si>
  <si>
    <t>cms</t>
  </si>
  <si>
    <t>L/S</t>
  </si>
  <si>
    <t>m2</t>
  </si>
  <si>
    <t>m/s2</t>
  </si>
  <si>
    <t>Area</t>
  </si>
  <si>
    <t>Release rate</t>
  </si>
  <si>
    <t>Time (min)</t>
  </si>
  <si>
    <t>I mm/hr</t>
  </si>
  <si>
    <t>Runoff volume m3</t>
  </si>
  <si>
    <t>Discharge volume m3</t>
  </si>
  <si>
    <t>Storage m3</t>
  </si>
  <si>
    <t>Release m3/s</t>
  </si>
  <si>
    <t>Inflow m3/s</t>
  </si>
  <si>
    <t>Pipes</t>
  </si>
  <si>
    <t>Ponding</t>
  </si>
  <si>
    <t>Description</t>
  </si>
  <si>
    <t>Length</t>
  </si>
  <si>
    <t xml:space="preserve">Width </t>
  </si>
  <si>
    <t>Height</t>
  </si>
  <si>
    <t>Volume</t>
  </si>
  <si>
    <t>m3</t>
  </si>
  <si>
    <t>From MH</t>
  </si>
  <si>
    <t>To MH</t>
  </si>
  <si>
    <t>Dia</t>
  </si>
  <si>
    <t>Ponding Area</t>
  </si>
  <si>
    <t>Total=</t>
  </si>
  <si>
    <t>Storm Event</t>
  </si>
  <si>
    <t>Existing_Condition</t>
  </si>
  <si>
    <t>Runoff Coefficient</t>
  </si>
  <si>
    <t>Proposed_Condition</t>
  </si>
  <si>
    <t>Tc (min)</t>
  </si>
  <si>
    <t>Area (ha)</t>
  </si>
  <si>
    <t>2 Year</t>
  </si>
  <si>
    <t>5 Year</t>
  </si>
  <si>
    <t>10 Year</t>
  </si>
  <si>
    <t>25 Year</t>
  </si>
  <si>
    <t>50 Year</t>
  </si>
  <si>
    <t>100 Year</t>
  </si>
  <si>
    <t>Peak Flow (cms)</t>
  </si>
  <si>
    <t>AREA m2</t>
  </si>
  <si>
    <t>CBMH1</t>
  </si>
  <si>
    <t>CBMH2</t>
  </si>
  <si>
    <t>CBMH3</t>
  </si>
  <si>
    <t>CBMH4</t>
  </si>
  <si>
    <t>CBMHs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</si>
</sst>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2" borderId="0" xfId="0" applyFill="1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144780</xdr:colOff>
      <xdr:row>0</xdr:row>
      <xdr:rowOff>72390</xdr:rowOff>
    </xdr:from>
    <xdr:ext cx="916085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7FA1BE6-8F3C-455C-B568-A3977F43D798}"/>
                </a:ext>
              </a:extLst>
            </xdr:cNvPr>
            <xdr:cNvSpPr txBox="1"/>
          </xdr:nvSpPr>
          <xdr:spPr>
            <a:xfrm>
              <a:off x="144780" y="72390"/>
              <a:ext cx="916085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𝐶𝑑𝐴</m:t>
                    </m:r>
                    <m:rad>
                      <m:radPr>
                        <m:degHide m:val="on"/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𝑔ℎ</m:t>
                        </m:r>
                      </m:e>
                    </m:rad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7FA1BE6-8F3C-455C-B568-A3977F43D798}"/>
                </a:ext>
              </a:extLst>
            </xdr:cNvPr>
            <xdr:cNvSpPr txBox="1"/>
          </xdr:nvSpPr>
          <xdr:spPr>
            <a:xfrm>
              <a:off x="144780" y="72390"/>
              <a:ext cx="916085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𝑄=𝐶𝑑𝐴</a:t>
              </a:r>
              <a:r>
                <a:rPr lang="en-CA" sz="1100" b="0" i="0">
                  <a:latin typeface="Cambria Math" panose="02040503050406030204" pitchFamily="18" charset="0"/>
                </a:rPr>
                <a:t>√</a:t>
              </a:r>
              <a:r>
                <a:rPr lang="en-US" sz="1100" b="0" i="0">
                  <a:latin typeface="Cambria Math" panose="02040503050406030204" pitchFamily="18" charset="0"/>
                </a:rPr>
                <a:t>2𝑔ℎ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0</xdr:col>
      <xdr:colOff>137160</xdr:colOff>
      <xdr:row>2</xdr:row>
      <xdr:rowOff>3810</xdr:rowOff>
    </xdr:from>
    <xdr:ext cx="964175" cy="3890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3D54DCE-0103-408E-8830-0DC14B458063}"/>
                </a:ext>
              </a:extLst>
            </xdr:cNvPr>
            <xdr:cNvSpPr txBox="1"/>
          </xdr:nvSpPr>
          <xdr:spPr>
            <a:xfrm>
              <a:off x="137160" y="369570"/>
              <a:ext cx="964175" cy="3890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𝐶𝑑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𝑔ℎ</m:t>
                            </m:r>
                          </m:e>
                        </m:rad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3D54DCE-0103-408E-8830-0DC14B458063}"/>
                </a:ext>
              </a:extLst>
            </xdr:cNvPr>
            <xdr:cNvSpPr txBox="1"/>
          </xdr:nvSpPr>
          <xdr:spPr>
            <a:xfrm>
              <a:off x="137160" y="369570"/>
              <a:ext cx="964175" cy="3890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4𝑄/(𝐶𝑑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</a:t>
              </a:r>
              <a:r>
                <a:rPr lang="en-US" sz="1100" b="0" i="0">
                  <a:latin typeface="Cambria Math" panose="02040503050406030204" pitchFamily="18" charset="0"/>
                </a:rPr>
                <a:t>2𝑔ℎ)=𝑑^2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0</xdr:col>
      <xdr:colOff>144780</xdr:colOff>
      <xdr:row>4</xdr:row>
      <xdr:rowOff>118110</xdr:rowOff>
    </xdr:from>
    <xdr:ext cx="972125" cy="4342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784CC43-CA4B-4188-9D09-D4F7A709C2AB}"/>
                </a:ext>
              </a:extLst>
            </xdr:cNvPr>
            <xdr:cNvSpPr txBox="1"/>
          </xdr:nvSpPr>
          <xdr:spPr>
            <a:xfrm>
              <a:off x="144780" y="849630"/>
              <a:ext cx="972125" cy="4342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</m:rad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𝑐𝑑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e>
                        </m:rad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𝑔ℎ</m:t>
                            </m:r>
                          </m:e>
                        </m:rad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</m:t>
                    </m:r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784CC43-CA4B-4188-9D09-D4F7A709C2AB}"/>
                </a:ext>
              </a:extLst>
            </xdr:cNvPr>
            <xdr:cNvSpPr txBox="1"/>
          </xdr:nvSpPr>
          <xdr:spPr>
            <a:xfrm>
              <a:off x="144780" y="849630"/>
              <a:ext cx="972125" cy="4342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√4𝑄/(√𝑐𝑑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 √</a:t>
              </a:r>
              <a:r>
                <a:rPr lang="en-US" sz="1100" b="0" i="0">
                  <a:latin typeface="Cambria Math" panose="02040503050406030204" pitchFamily="18" charset="0"/>
                </a:rPr>
                <a:t>2𝑔ℎ)=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</a:t>
              </a:r>
              <a:endParaRPr lang="en-CA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9B60-65C6-4279-9F72-F68E363BD66C}">
  <dimension ref="A1:K33"/>
  <sheetViews>
    <sheetView tabSelected="1" topLeftCell="A2" workbookViewId="0">
      <selection activeCell="H17" sqref="H17"/>
    </sheetView>
  </sheetViews>
  <sheetFormatPr defaultRowHeight="14.4" x14ac:dyDescent="0.3"/>
  <cols>
    <col min="5" max="5" width="14.6640625" bestFit="1" customWidth="1"/>
  </cols>
  <sheetData>
    <row r="1" spans="1:11" x14ac:dyDescent="0.3">
      <c r="B1" t="s">
        <v>87</v>
      </c>
      <c r="C1" t="s">
        <v>4</v>
      </c>
      <c r="D1" t="s">
        <v>5</v>
      </c>
      <c r="F1" s="1" t="s">
        <v>7</v>
      </c>
      <c r="G1" s="11" t="s">
        <v>12</v>
      </c>
      <c r="H1" s="11"/>
      <c r="I1" s="11"/>
      <c r="J1" s="1" t="s">
        <v>8</v>
      </c>
      <c r="K1" s="1" t="s">
        <v>9</v>
      </c>
    </row>
    <row r="2" spans="1:11" x14ac:dyDescent="0.3">
      <c r="A2" t="s">
        <v>0</v>
      </c>
      <c r="B2">
        <v>334.16699999999997</v>
      </c>
      <c r="C2">
        <v>0.9</v>
      </c>
      <c r="D2">
        <f>C2*B2</f>
        <v>300.75029999999998</v>
      </c>
      <c r="F2" s="1" t="s">
        <v>17</v>
      </c>
      <c r="G2" s="1" t="s">
        <v>13</v>
      </c>
      <c r="H2" s="1" t="s">
        <v>14</v>
      </c>
      <c r="I2" s="1" t="s">
        <v>4</v>
      </c>
      <c r="J2" s="1" t="s">
        <v>15</v>
      </c>
      <c r="K2" s="1" t="s">
        <v>16</v>
      </c>
    </row>
    <row r="3" spans="1:11" x14ac:dyDescent="0.3">
      <c r="A3" t="s">
        <v>1</v>
      </c>
      <c r="B3">
        <v>716.98900000000003</v>
      </c>
      <c r="C3">
        <v>0.2</v>
      </c>
      <c r="D3">
        <f t="shared" ref="D3:D5" si="0">C3*B3</f>
        <v>143.39780000000002</v>
      </c>
      <c r="F3" s="1" t="s">
        <v>10</v>
      </c>
      <c r="G3" s="1">
        <v>254.1</v>
      </c>
      <c r="H3" s="1">
        <v>6</v>
      </c>
      <c r="I3" s="1">
        <v>0.79890000000000005</v>
      </c>
      <c r="J3" s="1">
        <v>4</v>
      </c>
      <c r="K3" s="1">
        <v>12.5</v>
      </c>
    </row>
    <row r="4" spans="1:11" x14ac:dyDescent="0.3">
      <c r="A4" t="s">
        <v>2</v>
      </c>
      <c r="B4">
        <v>0</v>
      </c>
      <c r="C4">
        <v>0.9</v>
      </c>
      <c r="D4">
        <f t="shared" si="0"/>
        <v>0</v>
      </c>
      <c r="F4" s="1" t="s">
        <v>11</v>
      </c>
      <c r="G4" s="1">
        <v>509</v>
      </c>
      <c r="H4" s="1">
        <v>6</v>
      </c>
      <c r="I4" s="1">
        <v>0.79890000000000005</v>
      </c>
      <c r="J4" s="1">
        <v>4</v>
      </c>
      <c r="K4" s="1">
        <v>25</v>
      </c>
    </row>
    <row r="5" spans="1:11" x14ac:dyDescent="0.3">
      <c r="A5" t="s">
        <v>3</v>
      </c>
      <c r="B5">
        <v>100.84399999999999</v>
      </c>
      <c r="C5">
        <v>0.9</v>
      </c>
      <c r="D5">
        <f t="shared" si="0"/>
        <v>90.759599999999992</v>
      </c>
      <c r="F5" s="1">
        <v>2</v>
      </c>
      <c r="G5" s="1">
        <v>743</v>
      </c>
      <c r="H5" s="1">
        <v>6</v>
      </c>
      <c r="I5" s="1">
        <v>0.79890000000000005</v>
      </c>
      <c r="J5" s="1">
        <v>3</v>
      </c>
      <c r="K5" s="1">
        <v>34.299999999999997</v>
      </c>
    </row>
    <row r="6" spans="1:11" x14ac:dyDescent="0.3">
      <c r="B6">
        <f>SUM(B2:B5)</f>
        <v>1152</v>
      </c>
      <c r="C6">
        <f>SUMPRODUCT((B2:B5),$C$2:$C$5)/B6</f>
        <v>0.4643296006944444</v>
      </c>
      <c r="F6" s="1">
        <v>5</v>
      </c>
      <c r="G6" s="1">
        <v>1593</v>
      </c>
      <c r="H6" s="1">
        <v>11</v>
      </c>
      <c r="I6" s="1">
        <v>0.87890000000000001</v>
      </c>
      <c r="J6" s="1">
        <v>3</v>
      </c>
      <c r="K6" s="1">
        <v>47.3</v>
      </c>
    </row>
    <row r="7" spans="1:11" x14ac:dyDescent="0.3">
      <c r="B7">
        <f>B6/10000</f>
        <v>0.1152</v>
      </c>
      <c r="F7" s="1">
        <v>10</v>
      </c>
      <c r="G7" s="1">
        <v>2221</v>
      </c>
      <c r="H7" s="1">
        <v>12</v>
      </c>
      <c r="I7" s="1">
        <v>0.90800000000000003</v>
      </c>
      <c r="J7" s="1">
        <v>3</v>
      </c>
      <c r="K7" s="1">
        <v>56.3</v>
      </c>
    </row>
    <row r="8" spans="1:11" x14ac:dyDescent="0.3">
      <c r="F8" s="1">
        <v>25</v>
      </c>
      <c r="G8" s="1">
        <v>3158</v>
      </c>
      <c r="H8" s="1">
        <v>15</v>
      </c>
      <c r="I8" s="1">
        <v>0.9355</v>
      </c>
      <c r="J8" s="1">
        <v>3</v>
      </c>
      <c r="K8" s="1">
        <v>68.3</v>
      </c>
    </row>
    <row r="9" spans="1:11" x14ac:dyDescent="0.3">
      <c r="F9" s="1">
        <v>50</v>
      </c>
      <c r="G9" s="1">
        <v>3886</v>
      </c>
      <c r="H9" s="1">
        <v>16</v>
      </c>
      <c r="I9" s="1">
        <v>0.94950000000000001</v>
      </c>
      <c r="J9" s="1">
        <v>3</v>
      </c>
      <c r="K9" s="1">
        <v>77.2</v>
      </c>
    </row>
    <row r="10" spans="1:11" x14ac:dyDescent="0.3">
      <c r="A10" t="s">
        <v>18</v>
      </c>
      <c r="B10">
        <v>10</v>
      </c>
      <c r="C10" t="s">
        <v>19</v>
      </c>
      <c r="F10" s="1">
        <v>100</v>
      </c>
      <c r="G10" s="1">
        <v>4688</v>
      </c>
      <c r="H10" s="1">
        <v>17</v>
      </c>
      <c r="I10" s="1">
        <v>0.96240000000000003</v>
      </c>
      <c r="J10" s="1">
        <v>3</v>
      </c>
      <c r="K10" s="1">
        <v>87.1</v>
      </c>
    </row>
    <row r="12" spans="1:11" x14ac:dyDescent="0.3">
      <c r="A12" s="1" t="s">
        <v>7</v>
      </c>
      <c r="B12" s="1" t="s">
        <v>12</v>
      </c>
      <c r="C12" s="1"/>
      <c r="D12" s="1"/>
    </row>
    <row r="13" spans="1:11" x14ac:dyDescent="0.3">
      <c r="A13" s="1" t="s">
        <v>25</v>
      </c>
      <c r="B13" s="1" t="s">
        <v>13</v>
      </c>
      <c r="C13" s="1" t="s">
        <v>14</v>
      </c>
      <c r="D13" s="1" t="s">
        <v>4</v>
      </c>
      <c r="E13" s="1" t="s">
        <v>20</v>
      </c>
    </row>
    <row r="14" spans="1:11" x14ac:dyDescent="0.3">
      <c r="A14" s="1">
        <v>2</v>
      </c>
      <c r="B14" s="1">
        <v>743</v>
      </c>
      <c r="C14" s="1">
        <v>6</v>
      </c>
      <c r="D14" s="1">
        <v>0.79890000000000005</v>
      </c>
      <c r="E14" s="5">
        <f t="shared" ref="E14:E19" si="1">(B14/($B$10+C14)^D14)</f>
        <v>81.099347423286886</v>
      </c>
    </row>
    <row r="15" spans="1:11" x14ac:dyDescent="0.3">
      <c r="A15" s="1">
        <v>5</v>
      </c>
      <c r="B15" s="1">
        <v>1593</v>
      </c>
      <c r="C15" s="1">
        <v>11</v>
      </c>
      <c r="D15" s="1">
        <v>0.87890000000000001</v>
      </c>
      <c r="E15" s="5">
        <f t="shared" si="1"/>
        <v>109.67742300444543</v>
      </c>
    </row>
    <row r="16" spans="1:11" x14ac:dyDescent="0.3">
      <c r="A16" s="1">
        <v>10</v>
      </c>
      <c r="B16" s="1">
        <v>2221</v>
      </c>
      <c r="C16" s="1">
        <v>12</v>
      </c>
      <c r="D16" s="1">
        <v>0.90800000000000003</v>
      </c>
      <c r="E16" s="5">
        <f t="shared" si="1"/>
        <v>134.16176538684837</v>
      </c>
    </row>
    <row r="17" spans="1:6" x14ac:dyDescent="0.3">
      <c r="A17" s="1">
        <v>25</v>
      </c>
      <c r="B17" s="1">
        <v>3158</v>
      </c>
      <c r="C17" s="1">
        <v>15</v>
      </c>
      <c r="D17" s="1">
        <v>0.9355</v>
      </c>
      <c r="E17" s="5">
        <f t="shared" si="1"/>
        <v>155.46736848881432</v>
      </c>
    </row>
    <row r="18" spans="1:6" x14ac:dyDescent="0.3">
      <c r="A18" s="1">
        <v>50</v>
      </c>
      <c r="B18" s="1">
        <v>3886</v>
      </c>
      <c r="C18" s="1">
        <v>16</v>
      </c>
      <c r="D18" s="1">
        <v>0.94950000000000001</v>
      </c>
      <c r="E18" s="5">
        <f t="shared" si="1"/>
        <v>176.19176347400028</v>
      </c>
    </row>
    <row r="19" spans="1:6" x14ac:dyDescent="0.3">
      <c r="A19" s="1">
        <v>100</v>
      </c>
      <c r="B19" s="1">
        <v>4688</v>
      </c>
      <c r="C19" s="1">
        <v>17</v>
      </c>
      <c r="D19" s="1">
        <v>0.96240000000000003</v>
      </c>
      <c r="E19" s="5">
        <f t="shared" si="1"/>
        <v>196.53645415164578</v>
      </c>
    </row>
    <row r="21" spans="1:6" x14ac:dyDescent="0.3">
      <c r="B21" t="s">
        <v>21</v>
      </c>
    </row>
    <row r="22" spans="1:6" x14ac:dyDescent="0.3">
      <c r="A22" t="s">
        <v>23</v>
      </c>
      <c r="B22" s="3">
        <f>C6*E15*B6*2.78/10000</f>
        <v>16.309508866583325</v>
      </c>
      <c r="C22" t="s">
        <v>22</v>
      </c>
    </row>
    <row r="23" spans="1:6" x14ac:dyDescent="0.3">
      <c r="A23" t="s">
        <v>24</v>
      </c>
      <c r="B23" s="3">
        <f>C6*E19*B6*2.78/10000</f>
        <v>29.22582381848261</v>
      </c>
      <c r="C23" t="s">
        <v>22</v>
      </c>
    </row>
    <row r="27" spans="1:6" x14ac:dyDescent="0.3">
      <c r="A27" s="12" t="s">
        <v>75</v>
      </c>
      <c r="B27" s="12"/>
      <c r="C27" s="1" t="s">
        <v>79</v>
      </c>
      <c r="D27" s="1" t="s">
        <v>76</v>
      </c>
      <c r="E27" s="1" t="s">
        <v>78</v>
      </c>
    </row>
    <row r="28" spans="1:6" x14ac:dyDescent="0.3">
      <c r="A28" s="12"/>
      <c r="B28" s="12"/>
      <c r="C28" s="1">
        <f>B7</f>
        <v>0.1152</v>
      </c>
      <c r="D28" s="1">
        <f>C6</f>
        <v>0.4643296006944444</v>
      </c>
      <c r="E28" s="1">
        <f>B10</f>
        <v>10</v>
      </c>
    </row>
    <row r="29" spans="1:6" x14ac:dyDescent="0.3">
      <c r="A29" s="1"/>
      <c r="B29" s="4"/>
    </row>
    <row r="30" spans="1:6" x14ac:dyDescent="0.3">
      <c r="A30" s="11" t="s">
        <v>74</v>
      </c>
      <c r="B30" s="11"/>
      <c r="C30" s="11"/>
      <c r="D30" s="11"/>
      <c r="E30" s="11"/>
      <c r="F30" s="11"/>
    </row>
    <row r="31" spans="1:6" x14ac:dyDescent="0.3">
      <c r="A31" s="1" t="s">
        <v>80</v>
      </c>
      <c r="B31" s="1" t="s">
        <v>81</v>
      </c>
      <c r="C31" s="1" t="s">
        <v>82</v>
      </c>
      <c r="D31" s="1" t="s">
        <v>83</v>
      </c>
      <c r="E31" s="1" t="s">
        <v>84</v>
      </c>
      <c r="F31" s="1" t="s">
        <v>85</v>
      </c>
    </row>
    <row r="32" spans="1:6" x14ac:dyDescent="0.3">
      <c r="A32" s="11" t="s">
        <v>86</v>
      </c>
      <c r="B32" s="11"/>
      <c r="C32" s="11"/>
      <c r="D32" s="11"/>
      <c r="E32" s="11"/>
      <c r="F32" s="11"/>
    </row>
    <row r="33" spans="1:6" x14ac:dyDescent="0.3">
      <c r="A33" s="10">
        <f>$B$7*$C$6*E14*2.78/1000</f>
        <v>1.2059824981670185E-2</v>
      </c>
      <c r="B33" s="10">
        <f>$B$7*$C$6*E15*2.78/1000</f>
        <v>1.6309508866583326E-2</v>
      </c>
      <c r="C33" s="10">
        <f>$B$7*$C$6*E16*2.78/1000</f>
        <v>1.995043685558319E-2</v>
      </c>
      <c r="D33" s="10">
        <f>$B$7*$C$6*E17*2.78/1000</f>
        <v>2.3118672515946351E-2</v>
      </c>
      <c r="E33" s="10">
        <f>$B$7*$C$6*E18*2.78/1000</f>
        <v>2.6200480006552371E-2</v>
      </c>
      <c r="F33" s="10">
        <f>$B$7*$C$6*E19*2.78/1000</f>
        <v>2.9225823818482613E-2</v>
      </c>
    </row>
  </sheetData>
  <mergeCells count="4">
    <mergeCell ref="G1:I1"/>
    <mergeCell ref="A30:F30"/>
    <mergeCell ref="A27:B28"/>
    <mergeCell ref="A32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8441-703B-4682-80C1-9A7B23E60291}">
  <dimension ref="A1:K33"/>
  <sheetViews>
    <sheetView workbookViewId="0">
      <selection activeCell="B3" sqref="B3"/>
    </sheetView>
  </sheetViews>
  <sheetFormatPr defaultRowHeight="14.4" x14ac:dyDescent="0.3"/>
  <cols>
    <col min="5" max="5" width="14.6640625" bestFit="1" customWidth="1"/>
  </cols>
  <sheetData>
    <row r="1" spans="1:11" x14ac:dyDescent="0.3">
      <c r="B1" t="s">
        <v>6</v>
      </c>
      <c r="C1" t="s">
        <v>4</v>
      </c>
      <c r="D1" t="s">
        <v>5</v>
      </c>
      <c r="F1" s="1" t="s">
        <v>7</v>
      </c>
      <c r="G1" s="11" t="s">
        <v>12</v>
      </c>
      <c r="H1" s="11"/>
      <c r="I1" s="11"/>
      <c r="J1" s="1" t="s">
        <v>8</v>
      </c>
      <c r="K1" s="1" t="s">
        <v>9</v>
      </c>
    </row>
    <row r="2" spans="1:11" x14ac:dyDescent="0.3">
      <c r="A2" t="s">
        <v>0</v>
      </c>
      <c r="B2">
        <v>205.035</v>
      </c>
      <c r="C2">
        <v>0.9</v>
      </c>
      <c r="D2">
        <f>C2*B2</f>
        <v>184.53149999999999</v>
      </c>
      <c r="F2" s="1" t="s">
        <v>17</v>
      </c>
      <c r="G2" s="1" t="s">
        <v>13</v>
      </c>
      <c r="H2" s="1" t="s">
        <v>14</v>
      </c>
      <c r="I2" s="1" t="s">
        <v>4</v>
      </c>
      <c r="J2" s="1" t="s">
        <v>15</v>
      </c>
      <c r="K2" s="1" t="s">
        <v>16</v>
      </c>
    </row>
    <row r="3" spans="1:11" x14ac:dyDescent="0.3">
      <c r="A3" t="s">
        <v>1</v>
      </c>
      <c r="B3">
        <f>75.335+107.784+12</f>
        <v>195.119</v>
      </c>
      <c r="C3">
        <v>0.2</v>
      </c>
      <c r="D3">
        <f t="shared" ref="D3:D5" si="0">C3*B3</f>
        <v>39.023800000000001</v>
      </c>
      <c r="F3" s="1" t="s">
        <v>10</v>
      </c>
      <c r="G3" s="1">
        <v>254.1</v>
      </c>
      <c r="H3" s="1">
        <v>6</v>
      </c>
      <c r="I3" s="1">
        <v>0.79890000000000005</v>
      </c>
      <c r="J3" s="1">
        <v>4</v>
      </c>
      <c r="K3" s="1">
        <v>12.5</v>
      </c>
    </row>
    <row r="4" spans="1:11" x14ac:dyDescent="0.3">
      <c r="A4" t="s">
        <v>2</v>
      </c>
      <c r="B4">
        <f>229.591+17.628</f>
        <v>247.21899999999999</v>
      </c>
      <c r="C4">
        <v>0.9</v>
      </c>
      <c r="D4">
        <f t="shared" si="0"/>
        <v>222.49709999999999</v>
      </c>
      <c r="F4" s="1" t="s">
        <v>11</v>
      </c>
      <c r="G4" s="1">
        <v>509</v>
      </c>
      <c r="H4" s="1">
        <v>6</v>
      </c>
      <c r="I4" s="1">
        <v>0.79890000000000005</v>
      </c>
      <c r="J4" s="1">
        <v>4</v>
      </c>
      <c r="K4" s="1">
        <v>25</v>
      </c>
    </row>
    <row r="5" spans="1:11" x14ac:dyDescent="0.3">
      <c r="A5" t="s">
        <v>3</v>
      </c>
      <c r="B5">
        <v>504.62700000000001</v>
      </c>
      <c r="C5">
        <v>0.9</v>
      </c>
      <c r="D5">
        <f t="shared" si="0"/>
        <v>454.16430000000003</v>
      </c>
      <c r="F5" s="1">
        <v>2</v>
      </c>
      <c r="G5" s="1">
        <v>743</v>
      </c>
      <c r="H5" s="1">
        <v>6</v>
      </c>
      <c r="I5" s="1">
        <v>0.79890000000000005</v>
      </c>
      <c r="J5" s="1">
        <v>3</v>
      </c>
      <c r="K5" s="1">
        <v>34.299999999999997</v>
      </c>
    </row>
    <row r="6" spans="1:11" x14ac:dyDescent="0.3">
      <c r="B6">
        <f>SUM(B2:B5)</f>
        <v>1152</v>
      </c>
      <c r="C6">
        <f>SUMPRODUCT((B2:B5),$C$2:$C$5)/B6</f>
        <v>0.78143810763888888</v>
      </c>
      <c r="F6" s="1">
        <v>5</v>
      </c>
      <c r="G6" s="1">
        <v>1593</v>
      </c>
      <c r="H6" s="1">
        <v>11</v>
      </c>
      <c r="I6" s="1">
        <v>0.87890000000000001</v>
      </c>
      <c r="J6" s="1">
        <v>3</v>
      </c>
      <c r="K6" s="1">
        <v>47.3</v>
      </c>
    </row>
    <row r="7" spans="1:11" x14ac:dyDescent="0.3">
      <c r="B7">
        <f>B6/10000</f>
        <v>0.1152</v>
      </c>
      <c r="F7" s="1">
        <v>10</v>
      </c>
      <c r="G7" s="1">
        <v>2221</v>
      </c>
      <c r="H7" s="1">
        <v>12</v>
      </c>
      <c r="I7" s="1">
        <v>0.90800000000000003</v>
      </c>
      <c r="J7" s="1">
        <v>3</v>
      </c>
      <c r="K7" s="1">
        <v>56.3</v>
      </c>
    </row>
    <row r="8" spans="1:11" x14ac:dyDescent="0.3">
      <c r="F8" s="1">
        <v>25</v>
      </c>
      <c r="G8" s="1">
        <v>3158</v>
      </c>
      <c r="H8" s="1">
        <v>15</v>
      </c>
      <c r="I8" s="1">
        <v>0.9355</v>
      </c>
      <c r="J8" s="1">
        <v>3</v>
      </c>
      <c r="K8" s="1">
        <v>68.3</v>
      </c>
    </row>
    <row r="9" spans="1:11" x14ac:dyDescent="0.3">
      <c r="F9" s="1">
        <v>50</v>
      </c>
      <c r="G9" s="1">
        <v>3886</v>
      </c>
      <c r="H9" s="1">
        <v>16</v>
      </c>
      <c r="I9" s="1">
        <v>0.94950000000000001</v>
      </c>
      <c r="J9" s="1">
        <v>3</v>
      </c>
      <c r="K9" s="1">
        <v>77.2</v>
      </c>
    </row>
    <row r="10" spans="1:11" x14ac:dyDescent="0.3">
      <c r="A10" t="s">
        <v>18</v>
      </c>
      <c r="B10">
        <v>10</v>
      </c>
      <c r="C10" t="s">
        <v>19</v>
      </c>
      <c r="F10" s="1">
        <v>100</v>
      </c>
      <c r="G10" s="1">
        <v>4688</v>
      </c>
      <c r="H10" s="1">
        <v>17</v>
      </c>
      <c r="I10" s="1">
        <v>0.96240000000000003</v>
      </c>
      <c r="J10" s="1">
        <v>3</v>
      </c>
      <c r="K10" s="1">
        <v>87.1</v>
      </c>
    </row>
    <row r="12" spans="1:11" x14ac:dyDescent="0.3">
      <c r="A12" s="1" t="s">
        <v>7</v>
      </c>
      <c r="B12" s="11" t="s">
        <v>12</v>
      </c>
      <c r="C12" s="11"/>
      <c r="D12" s="11"/>
    </row>
    <row r="13" spans="1:11" x14ac:dyDescent="0.3">
      <c r="A13" s="1" t="s">
        <v>25</v>
      </c>
      <c r="B13" s="1" t="s">
        <v>13</v>
      </c>
      <c r="C13" s="1" t="s">
        <v>14</v>
      </c>
      <c r="D13" s="1" t="s">
        <v>4</v>
      </c>
      <c r="E13" s="1" t="s">
        <v>20</v>
      </c>
    </row>
    <row r="14" spans="1:11" x14ac:dyDescent="0.3">
      <c r="A14" s="1">
        <v>2</v>
      </c>
      <c r="B14" s="1">
        <v>743</v>
      </c>
      <c r="C14" s="1">
        <v>6</v>
      </c>
      <c r="D14" s="1">
        <v>0.79890000000000005</v>
      </c>
      <c r="E14" s="2">
        <f>(B14/(B10+C14)^D14)</f>
        <v>81.099347423286886</v>
      </c>
    </row>
    <row r="15" spans="1:11" x14ac:dyDescent="0.3">
      <c r="A15" s="1">
        <v>5</v>
      </c>
      <c r="B15" s="1">
        <v>1593</v>
      </c>
      <c r="C15" s="1">
        <v>11</v>
      </c>
      <c r="D15" s="1">
        <v>0.87890000000000001</v>
      </c>
      <c r="E15" s="2">
        <f>(B15/($B$10+C15)^D15)</f>
        <v>109.67742300444543</v>
      </c>
    </row>
    <row r="16" spans="1:11" x14ac:dyDescent="0.3">
      <c r="A16" s="1">
        <v>10</v>
      </c>
      <c r="B16" s="1">
        <v>2221</v>
      </c>
      <c r="C16" s="1">
        <v>12</v>
      </c>
      <c r="D16" s="1">
        <v>0.90800000000000003</v>
      </c>
      <c r="E16" s="2">
        <f t="shared" ref="E16:E19" si="1">(B16/($B$10+C16)^D16)</f>
        <v>134.16176538684837</v>
      </c>
    </row>
    <row r="17" spans="1:6" x14ac:dyDescent="0.3">
      <c r="A17" s="1">
        <v>25</v>
      </c>
      <c r="B17" s="1">
        <v>3158</v>
      </c>
      <c r="C17" s="1">
        <v>15</v>
      </c>
      <c r="D17" s="1">
        <v>0.9355</v>
      </c>
      <c r="E17" s="2">
        <f t="shared" si="1"/>
        <v>155.46736848881432</v>
      </c>
    </row>
    <row r="18" spans="1:6" x14ac:dyDescent="0.3">
      <c r="A18" s="1">
        <v>50</v>
      </c>
      <c r="B18" s="1">
        <v>3886</v>
      </c>
      <c r="C18" s="1">
        <v>16</v>
      </c>
      <c r="D18" s="1">
        <v>0.94950000000000001</v>
      </c>
      <c r="E18" s="2">
        <f t="shared" si="1"/>
        <v>176.19176347400028</v>
      </c>
    </row>
    <row r="19" spans="1:6" x14ac:dyDescent="0.3">
      <c r="A19" s="1">
        <v>100</v>
      </c>
      <c r="B19" s="1">
        <v>4688</v>
      </c>
      <c r="C19" s="1">
        <v>17</v>
      </c>
      <c r="D19" s="1">
        <v>0.96240000000000003</v>
      </c>
      <c r="E19" s="2">
        <f t="shared" si="1"/>
        <v>196.53645415164578</v>
      </c>
    </row>
    <row r="21" spans="1:6" x14ac:dyDescent="0.3">
      <c r="B21" t="s">
        <v>21</v>
      </c>
    </row>
    <row r="22" spans="1:6" x14ac:dyDescent="0.3">
      <c r="A22" t="s">
        <v>23</v>
      </c>
      <c r="B22" s="3">
        <f>C6*E15*B6*2.78/10000</f>
        <v>27.447898488835332</v>
      </c>
      <c r="C22" t="s">
        <v>22</v>
      </c>
    </row>
    <row r="23" spans="1:6" x14ac:dyDescent="0.3">
      <c r="A23" t="s">
        <v>24</v>
      </c>
      <c r="B23" s="3">
        <f>C6*E19*B6*2.78/10000</f>
        <v>49.185260695734648</v>
      </c>
      <c r="C23" t="s">
        <v>22</v>
      </c>
    </row>
    <row r="27" spans="1:6" x14ac:dyDescent="0.3">
      <c r="A27" s="12" t="s">
        <v>77</v>
      </c>
      <c r="B27" s="12"/>
      <c r="C27" s="1" t="s">
        <v>79</v>
      </c>
      <c r="D27" s="1" t="s">
        <v>76</v>
      </c>
      <c r="E27" s="1" t="s">
        <v>78</v>
      </c>
    </row>
    <row r="28" spans="1:6" x14ac:dyDescent="0.3">
      <c r="A28" s="12"/>
      <c r="B28" s="12"/>
      <c r="C28" s="1">
        <f>B7</f>
        <v>0.1152</v>
      </c>
      <c r="D28" s="1">
        <f>C6</f>
        <v>0.78143810763888888</v>
      </c>
      <c r="E28" s="1">
        <f>B10</f>
        <v>10</v>
      </c>
    </row>
    <row r="29" spans="1:6" x14ac:dyDescent="0.3">
      <c r="A29" s="1"/>
      <c r="B29" s="4"/>
    </row>
    <row r="30" spans="1:6" x14ac:dyDescent="0.3">
      <c r="A30" s="11" t="s">
        <v>74</v>
      </c>
      <c r="B30" s="11"/>
      <c r="C30" s="11"/>
      <c r="D30" s="11"/>
      <c r="E30" s="11"/>
      <c r="F30" s="11"/>
    </row>
    <row r="31" spans="1:6" x14ac:dyDescent="0.3">
      <c r="A31" s="1" t="s">
        <v>80</v>
      </c>
      <c r="B31" s="1" t="s">
        <v>81</v>
      </c>
      <c r="C31" s="1" t="s">
        <v>82</v>
      </c>
      <c r="D31" s="1" t="s">
        <v>83</v>
      </c>
      <c r="E31" s="1" t="s">
        <v>84</v>
      </c>
      <c r="F31" s="1" t="s">
        <v>85</v>
      </c>
    </row>
    <row r="32" spans="1:6" x14ac:dyDescent="0.3">
      <c r="A32" s="11" t="s">
        <v>86</v>
      </c>
      <c r="B32" s="11"/>
      <c r="C32" s="11"/>
      <c r="D32" s="11"/>
      <c r="E32" s="11"/>
      <c r="F32" s="11"/>
    </row>
    <row r="33" spans="1:6" x14ac:dyDescent="0.3">
      <c r="A33" s="10">
        <f>$B$7*$C$6*E14*2.78/1000</f>
        <v>2.0295942360853459E-2</v>
      </c>
      <c r="B33" s="10">
        <f>$B$7*$C$6*E15*2.78/1000</f>
        <v>2.7447898488835332E-2</v>
      </c>
      <c r="C33" s="10">
        <f>$B$7*$C$6*E16*2.78/1000</f>
        <v>3.3575355953356957E-2</v>
      </c>
      <c r="D33" s="10">
        <f>$B$7*$C$6*E17*2.78/1000</f>
        <v>3.8907301354394262E-2</v>
      </c>
      <c r="E33" s="10">
        <f>$B$7*$C$6*E18*2.78/1000</f>
        <v>4.4093793471125124E-2</v>
      </c>
      <c r="F33" s="10">
        <f>$B$7*$C$6*E19*2.78/1000</f>
        <v>4.9185260695734638E-2</v>
      </c>
    </row>
  </sheetData>
  <mergeCells count="5">
    <mergeCell ref="A32:F32"/>
    <mergeCell ref="G1:I1"/>
    <mergeCell ref="B12:D12"/>
    <mergeCell ref="A30:F30"/>
    <mergeCell ref="A27:B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B855-8563-4976-B21D-9394091E69B9}">
  <dimension ref="A4:P41"/>
  <sheetViews>
    <sheetView workbookViewId="0">
      <selection activeCell="D9" sqref="D9"/>
    </sheetView>
  </sheetViews>
  <sheetFormatPr defaultRowHeight="14.4" x14ac:dyDescent="0.3"/>
  <cols>
    <col min="1" max="1" width="12" bestFit="1" customWidth="1"/>
    <col min="7" max="7" width="12.88671875" bestFit="1" customWidth="1"/>
    <col min="8" max="9" width="12.88671875" customWidth="1"/>
  </cols>
  <sheetData>
    <row r="4" spans="1:16" x14ac:dyDescent="0.3">
      <c r="E4" t="s">
        <v>29</v>
      </c>
    </row>
    <row r="5" spans="1:16" x14ac:dyDescent="0.3">
      <c r="E5" t="s">
        <v>30</v>
      </c>
    </row>
    <row r="6" spans="1:16" x14ac:dyDescent="0.3">
      <c r="E6" t="s">
        <v>31</v>
      </c>
    </row>
    <row r="8" spans="1:16" x14ac:dyDescent="0.3">
      <c r="C8" t="s">
        <v>27</v>
      </c>
      <c r="D8">
        <v>335.7</v>
      </c>
      <c r="E8">
        <f>D8-D9</f>
        <v>2.3799999999999955</v>
      </c>
    </row>
    <row r="9" spans="1:16" x14ac:dyDescent="0.3">
      <c r="A9" t="s">
        <v>26</v>
      </c>
      <c r="B9">
        <f>E8</f>
        <v>2.3799999999999955</v>
      </c>
      <c r="C9" t="s">
        <v>28</v>
      </c>
      <c r="D9">
        <v>333.32</v>
      </c>
    </row>
    <row r="10" spans="1:16" x14ac:dyDescent="0.3">
      <c r="A10">
        <v>0.8</v>
      </c>
      <c r="B10" t="s">
        <v>37</v>
      </c>
    </row>
    <row r="11" spans="1:16" x14ac:dyDescent="0.3">
      <c r="A11">
        <f>Pre_Development!B22</f>
        <v>16.309508866583325</v>
      </c>
      <c r="B11" t="s">
        <v>40</v>
      </c>
    </row>
    <row r="12" spans="1:16" x14ac:dyDescent="0.3">
      <c r="A12">
        <v>9.81</v>
      </c>
      <c r="B12" t="s">
        <v>34</v>
      </c>
    </row>
    <row r="13" spans="1:16" x14ac:dyDescent="0.3">
      <c r="A13">
        <v>2.38</v>
      </c>
      <c r="B13" t="s">
        <v>35</v>
      </c>
    </row>
    <row r="14" spans="1:16" x14ac:dyDescent="0.3">
      <c r="A14">
        <v>3.14</v>
      </c>
      <c r="B14" t="s">
        <v>36</v>
      </c>
    </row>
    <row r="15" spans="1:16" x14ac:dyDescent="0.3">
      <c r="A15">
        <f>SQRT((4*(A11/1000))/(A10*A14*SQRT(2*A12*A13)))</f>
        <v>6.1648374469186681E-2</v>
      </c>
      <c r="B15" t="s">
        <v>39</v>
      </c>
      <c r="C15">
        <v>0.06</v>
      </c>
      <c r="F15" s="1" t="s">
        <v>41</v>
      </c>
      <c r="G15" s="1" t="s">
        <v>42</v>
      </c>
      <c r="H15" s="1"/>
      <c r="I15" s="1"/>
      <c r="J15" s="1" t="s">
        <v>43</v>
      </c>
      <c r="K15" s="1" t="s">
        <v>44</v>
      </c>
      <c r="L15" s="1" t="s">
        <v>33</v>
      </c>
      <c r="M15" s="1" t="s">
        <v>45</v>
      </c>
      <c r="N15" s="1" t="s">
        <v>35</v>
      </c>
      <c r="O15" s="11" t="s">
        <v>32</v>
      </c>
      <c r="P15" s="11"/>
    </row>
    <row r="16" spans="1:16" x14ac:dyDescent="0.3">
      <c r="A16">
        <f>A13-C15/2</f>
        <v>2.35</v>
      </c>
      <c r="B16" t="s">
        <v>35</v>
      </c>
      <c r="F16" s="1"/>
      <c r="G16" s="1" t="s">
        <v>38</v>
      </c>
      <c r="H16" s="1"/>
      <c r="I16" s="1"/>
      <c r="J16" s="1"/>
      <c r="K16" s="1" t="s">
        <v>50</v>
      </c>
      <c r="L16" s="1" t="s">
        <v>51</v>
      </c>
      <c r="M16" s="1" t="s">
        <v>38</v>
      </c>
      <c r="N16" s="1" t="s">
        <v>38</v>
      </c>
      <c r="O16" s="1" t="s">
        <v>48</v>
      </c>
      <c r="P16" s="1" t="s">
        <v>49</v>
      </c>
    </row>
    <row r="17" spans="1:16" x14ac:dyDescent="0.3">
      <c r="A17">
        <f>A10*(A14*(C15)^2/4)*SQRT(2*A12*A16)*1000</f>
        <v>15.351314784749871</v>
      </c>
      <c r="B17" t="s">
        <v>40</v>
      </c>
      <c r="F17" s="1" t="s">
        <v>46</v>
      </c>
      <c r="G17" s="1" t="s">
        <v>47</v>
      </c>
      <c r="H17" s="1"/>
      <c r="I17" s="1"/>
      <c r="J17" s="1">
        <v>0.8</v>
      </c>
      <c r="K17" s="1">
        <f>(A14*(C15)^2/4)</f>
        <v>2.826E-3</v>
      </c>
      <c r="L17" s="1">
        <v>9.81</v>
      </c>
      <c r="M17" s="1">
        <f>C15</f>
        <v>0.06</v>
      </c>
      <c r="N17" s="1">
        <f>A16</f>
        <v>2.35</v>
      </c>
      <c r="O17" s="1">
        <f>A17/1000</f>
        <v>1.5351314784749871E-2</v>
      </c>
      <c r="P17" s="1">
        <f>A17</f>
        <v>15.351314784749871</v>
      </c>
    </row>
    <row r="19" spans="1:16" x14ac:dyDescent="0.3">
      <c r="I19" s="1">
        <v>100</v>
      </c>
    </row>
    <row r="20" spans="1:16" x14ac:dyDescent="0.3">
      <c r="I20" s="1" t="s">
        <v>13</v>
      </c>
      <c r="J20" s="1">
        <v>4688</v>
      </c>
      <c r="K20" s="9"/>
    </row>
    <row r="21" spans="1:16" x14ac:dyDescent="0.3">
      <c r="F21" t="s">
        <v>52</v>
      </c>
      <c r="G21">
        <f>Post_Development!B7</f>
        <v>0.1152</v>
      </c>
      <c r="I21" s="1" t="s">
        <v>14</v>
      </c>
      <c r="J21" s="1">
        <v>17</v>
      </c>
    </row>
    <row r="22" spans="1:16" x14ac:dyDescent="0.3">
      <c r="F22" t="s">
        <v>4</v>
      </c>
      <c r="G22">
        <f>Post_Development!C6</f>
        <v>0.78143810763888888</v>
      </c>
      <c r="I22" s="1" t="s">
        <v>4</v>
      </c>
      <c r="J22" s="1">
        <v>0.96240000000000003</v>
      </c>
      <c r="K22" s="9"/>
    </row>
    <row r="23" spans="1:16" x14ac:dyDescent="0.3">
      <c r="F23" t="s">
        <v>53</v>
      </c>
      <c r="G23">
        <f>O17</f>
        <v>1.5351314784749871E-2</v>
      </c>
    </row>
    <row r="26" spans="1:16" ht="43.2" x14ac:dyDescent="0.3">
      <c r="F26" s="6" t="s">
        <v>54</v>
      </c>
      <c r="G26" s="6" t="s">
        <v>55</v>
      </c>
      <c r="H26" s="6" t="s">
        <v>59</v>
      </c>
      <c r="I26" s="6" t="s">
        <v>60</v>
      </c>
      <c r="J26" s="6" t="s">
        <v>56</v>
      </c>
      <c r="K26" s="6" t="s">
        <v>57</v>
      </c>
      <c r="L26" s="6" t="s">
        <v>58</v>
      </c>
    </row>
    <row r="27" spans="1:16" x14ac:dyDescent="0.3">
      <c r="F27">
        <v>10</v>
      </c>
      <c r="G27" s="7">
        <f>$J$20/(F27+$J$21)^$J$22</f>
        <v>196.53645415164578</v>
      </c>
      <c r="H27" s="8">
        <f>$G$23</f>
        <v>1.5351314784749871E-2</v>
      </c>
      <c r="I27" s="8">
        <f>G27*$G$21*$G$22*0.00278</f>
        <v>4.9185260695734645E-2</v>
      </c>
      <c r="J27" s="7">
        <f>I27*F27*60</f>
        <v>29.511156417440787</v>
      </c>
      <c r="K27" s="7">
        <f>$G$23*F27*60</f>
        <v>9.210788870849921</v>
      </c>
      <c r="L27" s="7">
        <f>J27-K27</f>
        <v>20.300367546590866</v>
      </c>
    </row>
    <row r="28" spans="1:16" x14ac:dyDescent="0.3">
      <c r="F28">
        <v>15</v>
      </c>
      <c r="G28" s="7">
        <f t="shared" ref="G28:G41" si="0">$J$20/(F28+$J$21)^$J$22</f>
        <v>166.89036476303983</v>
      </c>
      <c r="H28" s="8">
        <f t="shared" ref="H28:H41" si="1">$G$23</f>
        <v>1.5351314784749871E-2</v>
      </c>
      <c r="I28" s="8">
        <f t="shared" ref="I28:I41" si="2">G28*$G$21*$G$22*0.00278</f>
        <v>4.1766023173200842E-2</v>
      </c>
      <c r="J28" s="7">
        <f t="shared" ref="J28:J41" si="3">I28*F28*60</f>
        <v>37.589420855880753</v>
      </c>
      <c r="K28" s="7">
        <f t="shared" ref="K28:K41" si="4">$G$23*F28*60</f>
        <v>13.816183306274883</v>
      </c>
      <c r="L28" s="7">
        <f t="shared" ref="L28:L41" si="5">J28-K28</f>
        <v>23.77323754960587</v>
      </c>
    </row>
    <row r="29" spans="1:16" x14ac:dyDescent="0.3">
      <c r="F29">
        <v>20</v>
      </c>
      <c r="G29" s="7">
        <f t="shared" si="0"/>
        <v>145.12768369227598</v>
      </c>
      <c r="H29" s="8">
        <f t="shared" si="1"/>
        <v>1.5351314784749871E-2</v>
      </c>
      <c r="I29" s="8">
        <f t="shared" si="2"/>
        <v>3.6319689328805048E-2</v>
      </c>
      <c r="J29" s="7">
        <f t="shared" si="3"/>
        <v>43.583627194566063</v>
      </c>
      <c r="K29" s="7">
        <f t="shared" si="4"/>
        <v>18.421577741699842</v>
      </c>
      <c r="L29" s="7">
        <f t="shared" si="5"/>
        <v>25.162049452866221</v>
      </c>
    </row>
    <row r="30" spans="1:16" x14ac:dyDescent="0.3">
      <c r="F30">
        <v>25</v>
      </c>
      <c r="G30" s="7">
        <f t="shared" si="0"/>
        <v>128.46135125103564</v>
      </c>
      <c r="H30" s="8">
        <f t="shared" si="1"/>
        <v>1.5351314784749871E-2</v>
      </c>
      <c r="I30" s="8">
        <f t="shared" si="2"/>
        <v>3.214876892880799E-2</v>
      </c>
      <c r="J30" s="7">
        <f t="shared" si="3"/>
        <v>48.223153393211987</v>
      </c>
      <c r="K30" s="7">
        <f t="shared" si="4"/>
        <v>23.026972177124804</v>
      </c>
      <c r="L30" s="7">
        <f t="shared" si="5"/>
        <v>25.196181216087183</v>
      </c>
    </row>
    <row r="31" spans="1:16" x14ac:dyDescent="0.3">
      <c r="F31">
        <v>30</v>
      </c>
      <c r="G31" s="7">
        <f t="shared" si="0"/>
        <v>115.28176698847173</v>
      </c>
      <c r="H31" s="8">
        <f t="shared" si="1"/>
        <v>1.5351314784749871E-2</v>
      </c>
      <c r="I31" s="8">
        <f t="shared" si="2"/>
        <v>2.8850442973891603E-2</v>
      </c>
      <c r="J31" s="7">
        <f t="shared" si="3"/>
        <v>51.930797353004884</v>
      </c>
      <c r="K31" s="7">
        <f t="shared" si="4"/>
        <v>27.632366612549767</v>
      </c>
      <c r="L31" s="7">
        <f t="shared" si="5"/>
        <v>24.298430740455117</v>
      </c>
    </row>
    <row r="32" spans="1:16" x14ac:dyDescent="0.3">
      <c r="F32">
        <v>35</v>
      </c>
      <c r="G32" s="7">
        <f t="shared" si="0"/>
        <v>104.59381046383211</v>
      </c>
      <c r="H32" s="8">
        <f t="shared" si="1"/>
        <v>1.5351314784749871E-2</v>
      </c>
      <c r="I32" s="8">
        <f t="shared" si="2"/>
        <v>2.6175672381137039E-2</v>
      </c>
      <c r="J32" s="7">
        <f t="shared" si="3"/>
        <v>54.968912000387782</v>
      </c>
      <c r="K32" s="7">
        <f t="shared" si="4"/>
        <v>32.237761047974729</v>
      </c>
      <c r="L32" s="7">
        <f t="shared" si="5"/>
        <v>22.731150952413053</v>
      </c>
    </row>
    <row r="33" spans="6:12" x14ac:dyDescent="0.3">
      <c r="F33">
        <v>40</v>
      </c>
      <c r="G33" s="7">
        <f t="shared" si="0"/>
        <v>95.748866617033585</v>
      </c>
      <c r="H33" s="8">
        <f t="shared" si="1"/>
        <v>1.5351314784749871E-2</v>
      </c>
      <c r="I33" s="8">
        <f t="shared" si="2"/>
        <v>2.3962134588253865E-2</v>
      </c>
      <c r="J33" s="7">
        <f t="shared" si="3"/>
        <v>57.509123011809272</v>
      </c>
      <c r="K33" s="7">
        <f t="shared" si="4"/>
        <v>36.843155483399684</v>
      </c>
      <c r="L33" s="7">
        <f t="shared" si="5"/>
        <v>20.665967528409588</v>
      </c>
    </row>
    <row r="34" spans="6:12" x14ac:dyDescent="0.3">
      <c r="F34">
        <v>45</v>
      </c>
      <c r="G34" s="7">
        <f t="shared" si="0"/>
        <v>88.30592437637857</v>
      </c>
      <c r="H34" s="8">
        <f t="shared" si="1"/>
        <v>1.5351314784749871E-2</v>
      </c>
      <c r="I34" s="8">
        <f t="shared" si="2"/>
        <v>2.2099462057449754E-2</v>
      </c>
      <c r="J34" s="7">
        <f t="shared" si="3"/>
        <v>59.66854755511433</v>
      </c>
      <c r="K34" s="7">
        <f t="shared" si="4"/>
        <v>41.448549918824646</v>
      </c>
      <c r="L34" s="7">
        <f t="shared" si="5"/>
        <v>18.219997636289683</v>
      </c>
    </row>
    <row r="35" spans="6:12" x14ac:dyDescent="0.3">
      <c r="F35">
        <v>50</v>
      </c>
      <c r="G35" s="7">
        <f t="shared" si="0"/>
        <v>81.954576966892276</v>
      </c>
      <c r="H35" s="8">
        <f t="shared" si="1"/>
        <v>1.5351314784749871E-2</v>
      </c>
      <c r="I35" s="8">
        <f t="shared" si="2"/>
        <v>2.0509972313914833E-2</v>
      </c>
      <c r="J35" s="7">
        <f t="shared" si="3"/>
        <v>61.529916941744503</v>
      </c>
      <c r="K35" s="7">
        <f t="shared" si="4"/>
        <v>46.053944354249609</v>
      </c>
      <c r="L35" s="7">
        <f t="shared" si="5"/>
        <v>15.475972587494894</v>
      </c>
    </row>
    <row r="36" spans="6:12" x14ac:dyDescent="0.3">
      <c r="F36">
        <v>55</v>
      </c>
      <c r="G36" s="7">
        <f t="shared" si="0"/>
        <v>76.469950390842527</v>
      </c>
      <c r="H36" s="8">
        <f t="shared" si="1"/>
        <v>1.5351314784749871E-2</v>
      </c>
      <c r="I36" s="8">
        <f t="shared" si="2"/>
        <v>1.9137388336422211E-2</v>
      </c>
      <c r="J36" s="7">
        <f t="shared" si="3"/>
        <v>63.153381510193299</v>
      </c>
      <c r="K36" s="7">
        <f t="shared" si="4"/>
        <v>50.659338789674571</v>
      </c>
      <c r="L36" s="7">
        <f t="shared" si="5"/>
        <v>12.494042720518728</v>
      </c>
    </row>
    <row r="37" spans="6:12" x14ac:dyDescent="0.3">
      <c r="F37">
        <v>60</v>
      </c>
      <c r="G37" s="7">
        <f t="shared" si="0"/>
        <v>71.685105561016741</v>
      </c>
      <c r="H37" s="8">
        <f t="shared" si="1"/>
        <v>1.5351314784749871E-2</v>
      </c>
      <c r="I37" s="8">
        <f t="shared" si="2"/>
        <v>1.7939931908506658E-2</v>
      </c>
      <c r="J37" s="7">
        <f t="shared" si="3"/>
        <v>64.583754870623963</v>
      </c>
      <c r="K37" s="7">
        <f t="shared" si="4"/>
        <v>55.264733225099533</v>
      </c>
      <c r="L37" s="7">
        <f t="shared" si="5"/>
        <v>9.3190216455244297</v>
      </c>
    </row>
    <row r="38" spans="6:12" x14ac:dyDescent="0.3">
      <c r="F38">
        <v>65</v>
      </c>
      <c r="G38" s="7">
        <f t="shared" si="0"/>
        <v>67.47348647078779</v>
      </c>
      <c r="H38" s="8">
        <f t="shared" si="1"/>
        <v>1.5351314784749871E-2</v>
      </c>
      <c r="I38" s="8">
        <f t="shared" si="2"/>
        <v>1.688593109324717E-2</v>
      </c>
      <c r="J38" s="7">
        <f t="shared" si="3"/>
        <v>65.855131263663964</v>
      </c>
      <c r="K38" s="7">
        <f t="shared" si="4"/>
        <v>59.870127660524496</v>
      </c>
      <c r="L38" s="7">
        <f t="shared" si="5"/>
        <v>5.985003603139468</v>
      </c>
    </row>
    <row r="39" spans="6:12" x14ac:dyDescent="0.3">
      <c r="F39">
        <v>70</v>
      </c>
      <c r="G39" s="7">
        <f t="shared" si="0"/>
        <v>63.737389828704863</v>
      </c>
      <c r="H39" s="8">
        <f t="shared" si="1"/>
        <v>1.5351314784749871E-2</v>
      </c>
      <c r="I39" s="8">
        <f t="shared" si="2"/>
        <v>1.595093464122245E-2</v>
      </c>
      <c r="J39" s="7">
        <f t="shared" si="3"/>
        <v>66.993925493134284</v>
      </c>
      <c r="K39" s="7">
        <f t="shared" si="4"/>
        <v>64.475522095949458</v>
      </c>
      <c r="L39" s="7">
        <f t="shared" si="5"/>
        <v>2.5184033971848265</v>
      </c>
    </row>
    <row r="40" spans="6:12" x14ac:dyDescent="0.3">
      <c r="F40">
        <v>75</v>
      </c>
      <c r="G40" s="7">
        <f t="shared" si="0"/>
        <v>60.400175146004514</v>
      </c>
      <c r="H40" s="8">
        <f t="shared" si="1"/>
        <v>1.5351314784749871E-2</v>
      </c>
      <c r="I40" s="8">
        <f t="shared" si="2"/>
        <v>1.5115762485121578E-2</v>
      </c>
      <c r="J40" s="7">
        <f t="shared" si="3"/>
        <v>68.020931183047111</v>
      </c>
      <c r="K40" s="7">
        <f t="shared" si="4"/>
        <v>69.080916531374427</v>
      </c>
      <c r="L40" s="7">
        <f t="shared" si="5"/>
        <v>-1.0599853483273165</v>
      </c>
    </row>
    <row r="41" spans="6:12" x14ac:dyDescent="0.3">
      <c r="F41">
        <v>80</v>
      </c>
      <c r="G41" s="7">
        <f t="shared" si="0"/>
        <v>57.400871466024547</v>
      </c>
      <c r="H41" s="8">
        <f t="shared" si="1"/>
        <v>1.5351314784749871E-2</v>
      </c>
      <c r="I41" s="8">
        <f t="shared" si="2"/>
        <v>1.4365156018538721E-2</v>
      </c>
      <c r="J41" s="7">
        <f t="shared" si="3"/>
        <v>68.952748888985866</v>
      </c>
      <c r="K41" s="7">
        <f t="shared" si="4"/>
        <v>73.686310966799368</v>
      </c>
      <c r="L41" s="7">
        <f t="shared" si="5"/>
        <v>-4.7335620778135024</v>
      </c>
    </row>
  </sheetData>
  <mergeCells count="1">
    <mergeCell ref="O15:P15"/>
  </mergeCells>
  <conditionalFormatting sqref="L27:L41">
    <cfRule type="top10" dxfId="0" priority="1" rank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314C-09A3-4A8A-8686-47F960F1DE63}">
  <dimension ref="A1:F30"/>
  <sheetViews>
    <sheetView topLeftCell="A31" zoomScale="94" workbookViewId="0">
      <selection activeCell="A2" sqref="A2"/>
    </sheetView>
  </sheetViews>
  <sheetFormatPr defaultRowHeight="14.4" x14ac:dyDescent="0.3"/>
  <cols>
    <col min="5" max="5" width="11.33203125" customWidth="1"/>
  </cols>
  <sheetData>
    <row r="1" spans="1:5" x14ac:dyDescent="0.3">
      <c r="A1" t="s">
        <v>92</v>
      </c>
    </row>
    <row r="2" spans="1:5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</row>
    <row r="3" spans="1:5" x14ac:dyDescent="0.3">
      <c r="B3" t="s">
        <v>38</v>
      </c>
      <c r="C3" t="s">
        <v>38</v>
      </c>
      <c r="D3" t="s">
        <v>38</v>
      </c>
      <c r="E3" t="s">
        <v>68</v>
      </c>
    </row>
    <row r="4" spans="1:5" x14ac:dyDescent="0.3">
      <c r="A4" s="1" t="s">
        <v>88</v>
      </c>
      <c r="B4" s="1">
        <v>1.2</v>
      </c>
      <c r="C4" s="1">
        <v>1.2</v>
      </c>
      <c r="D4" s="1">
        <v>1.95</v>
      </c>
      <c r="E4" s="1">
        <f>3.14*(B4/2)^2*D4</f>
        <v>2.2042800000000002</v>
      </c>
    </row>
    <row r="5" spans="1:5" x14ac:dyDescent="0.3">
      <c r="A5" s="1" t="s">
        <v>89</v>
      </c>
      <c r="B5" s="1">
        <v>1.2</v>
      </c>
      <c r="C5" s="1">
        <v>1.2</v>
      </c>
      <c r="D5" s="1">
        <v>2.077</v>
      </c>
      <c r="E5" s="1">
        <f t="shared" ref="E5:E7" si="0">3.14*(B5/2)^2*D5</f>
        <v>2.3478408000000002</v>
      </c>
    </row>
    <row r="6" spans="1:5" x14ac:dyDescent="0.3">
      <c r="A6" s="1" t="s">
        <v>90</v>
      </c>
      <c r="B6" s="1">
        <v>1.2</v>
      </c>
      <c r="C6" s="1">
        <v>1.2</v>
      </c>
      <c r="D6" s="1">
        <v>2.1880000000000002</v>
      </c>
      <c r="E6" s="1">
        <f t="shared" si="0"/>
        <v>2.4733152000000005</v>
      </c>
    </row>
    <row r="7" spans="1:5" x14ac:dyDescent="0.3">
      <c r="E7">
        <f t="shared" si="0"/>
        <v>0</v>
      </c>
    </row>
    <row r="8" spans="1:5" x14ac:dyDescent="0.3">
      <c r="E8">
        <f>SUM(E4:E7)</f>
        <v>7.0254360000000009</v>
      </c>
    </row>
    <row r="12" spans="1:5" x14ac:dyDescent="0.3">
      <c r="A12" t="s">
        <v>61</v>
      </c>
    </row>
    <row r="13" spans="1:5" x14ac:dyDescent="0.3">
      <c r="A13" t="s">
        <v>69</v>
      </c>
      <c r="B13" t="s">
        <v>70</v>
      </c>
      <c r="C13" t="s">
        <v>64</v>
      </c>
      <c r="D13" t="s">
        <v>71</v>
      </c>
      <c r="E13" t="s">
        <v>67</v>
      </c>
    </row>
    <row r="14" spans="1:5" x14ac:dyDescent="0.3">
      <c r="C14" t="s">
        <v>38</v>
      </c>
      <c r="D14" t="s">
        <v>38</v>
      </c>
      <c r="E14" t="s">
        <v>68</v>
      </c>
    </row>
    <row r="15" spans="1:5" x14ac:dyDescent="0.3">
      <c r="A15" s="1" t="s">
        <v>88</v>
      </c>
      <c r="B15" s="1" t="s">
        <v>89</v>
      </c>
      <c r="C15" s="1">
        <v>19.5</v>
      </c>
      <c r="D15" s="1">
        <v>0.3</v>
      </c>
      <c r="E15" s="1">
        <f>(3.14*D15*D15)*C15/4</f>
        <v>1.3776749999999998</v>
      </c>
    </row>
    <row r="16" spans="1:5" x14ac:dyDescent="0.3">
      <c r="A16" s="1" t="s">
        <v>89</v>
      </c>
      <c r="B16" s="1" t="s">
        <v>90</v>
      </c>
      <c r="C16" s="1">
        <v>16.2</v>
      </c>
      <c r="D16" s="1">
        <v>0.3</v>
      </c>
      <c r="E16" s="1">
        <f t="shared" ref="E16:E17" si="1">(3.14*D16*D16)*C16/4</f>
        <v>1.1445299999999998</v>
      </c>
    </row>
    <row r="17" spans="1:6" x14ac:dyDescent="0.3">
      <c r="A17" s="1" t="s">
        <v>90</v>
      </c>
      <c r="B17" s="1" t="s">
        <v>91</v>
      </c>
      <c r="C17" s="1">
        <v>9.1</v>
      </c>
      <c r="D17" s="1">
        <v>0.3</v>
      </c>
      <c r="E17" s="1">
        <f t="shared" si="1"/>
        <v>0.6429149999999999</v>
      </c>
    </row>
    <row r="19" spans="1:6" x14ac:dyDescent="0.3">
      <c r="E19">
        <f>SUM(E15:E18)</f>
        <v>3.1651199999999995</v>
      </c>
    </row>
    <row r="21" spans="1:6" x14ac:dyDescent="0.3">
      <c r="A21" t="s">
        <v>62</v>
      </c>
    </row>
    <row r="23" spans="1:6" x14ac:dyDescent="0.3">
      <c r="A23" s="1" t="s">
        <v>72</v>
      </c>
      <c r="B23" s="1" t="s">
        <v>52</v>
      </c>
      <c r="C23" s="1" t="s">
        <v>9</v>
      </c>
      <c r="D23" s="1" t="s">
        <v>67</v>
      </c>
      <c r="E23" s="1" t="s">
        <v>42</v>
      </c>
    </row>
    <row r="24" spans="1:6" x14ac:dyDescent="0.3">
      <c r="A24" s="1"/>
      <c r="B24" s="1" t="s">
        <v>50</v>
      </c>
      <c r="C24" s="1" t="s">
        <v>38</v>
      </c>
      <c r="D24" s="1" t="s">
        <v>68</v>
      </c>
      <c r="E24" s="1"/>
    </row>
    <row r="25" spans="1:6" x14ac:dyDescent="0.3">
      <c r="A25" s="1">
        <v>1</v>
      </c>
      <c r="B25" s="1">
        <v>26.178000000000001</v>
      </c>
      <c r="C25" s="1">
        <v>0.2</v>
      </c>
      <c r="D25" s="1">
        <f>C25*B25</f>
        <v>5.2356000000000007</v>
      </c>
      <c r="E25" s="1">
        <v>335.71</v>
      </c>
    </row>
    <row r="26" spans="1:6" x14ac:dyDescent="0.3">
      <c r="A26" s="1">
        <v>2</v>
      </c>
      <c r="B26" s="1">
        <v>39.405000000000001</v>
      </c>
      <c r="C26" s="1">
        <v>0.2</v>
      </c>
      <c r="D26" s="1">
        <f t="shared" ref="D26:D27" si="2">C26*B26</f>
        <v>7.8810000000000002</v>
      </c>
      <c r="E26" s="1">
        <v>335.71</v>
      </c>
    </row>
    <row r="27" spans="1:6" x14ac:dyDescent="0.3">
      <c r="A27" s="1">
        <v>3</v>
      </c>
      <c r="B27" s="1">
        <v>23.593</v>
      </c>
      <c r="C27" s="1">
        <v>0.2</v>
      </c>
      <c r="D27" s="1">
        <f t="shared" si="2"/>
        <v>4.7186000000000003</v>
      </c>
      <c r="E27" s="1">
        <v>335.71</v>
      </c>
    </row>
    <row r="28" spans="1:6" x14ac:dyDescent="0.3">
      <c r="D28">
        <f>SUM(D25:D27)</f>
        <v>17.8352</v>
      </c>
    </row>
    <row r="30" spans="1:6" x14ac:dyDescent="0.3">
      <c r="E30" t="s">
        <v>73</v>
      </c>
      <c r="F30">
        <f>D28+E19+E8</f>
        <v>28.025756000000001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Pre_Development</vt:lpstr>
      <vt:lpstr>Post_Development</vt:lpstr>
      <vt:lpstr>Orifice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Mineshbhai Patel</dc:creator>
  <cp:lastModifiedBy>Akash Mineshbhai Patel</cp:lastModifiedBy>
  <dcterms:created xsi:type="dcterms:W3CDTF">2026-08-10T17:01:35Z</dcterms:created>
  <dcterms:modified xsi:type="dcterms:W3CDTF">2026-08-16T14:56:25Z</dcterms:modified>
</cp:coreProperties>
</file>